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dge Model" sheetId="1" state="visible" r:id="rId3"/>
    <sheet name="Notes &amp; Assumptions" sheetId="2" state="visible" r:id="rId4"/>
  </sheets>
  <definedNames>
    <definedName function="false" hidden="false" name="F0_CIP" vbProcedure="false">'Hedge Model'!$C22</definedName>
    <definedName function="false" hidden="false" name="F0_in" vbProcedure="false">'Hedge Model'!$C10</definedName>
    <definedName function="false" hidden="false" name="FC_AMT" vbProcedure="false">'Hedge Model'!$C21</definedName>
    <definedName function="false" hidden="false" name="K_CALL" vbProcedure="false">'Hedge Model'!$C16</definedName>
    <definedName function="false" hidden="false" name="K_PUT" vbProcedure="false">'Hedge Model'!$C14</definedName>
    <definedName function="false" hidden="false" name="PREM_CALL" vbProcedure="false">'Hedge Model'!$C17</definedName>
    <definedName function="false" hidden="false" name="PREM_PUT" vbProcedure="false">'Hedge Model'!$C15</definedName>
    <definedName function="false" hidden="false" name="R_FC" vbProcedure="false">'Hedge Model'!$C12</definedName>
    <definedName function="false" hidden="false" name="R_USD" vbProcedure="false">'Hedge Model'!$C11</definedName>
    <definedName function="false" hidden="false" name="S0_in" vbProcedure="false">'Hedge Model'!$C9</definedName>
    <definedName function="false" hidden="false" name="T_DAYS" vbProcedure="false">'Hedge Model'!$C13</definedName>
    <definedName function="false" hidden="false" name="USD_TARGET" vbProcedure="false">'Hedge Model'!$C8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<sst xmlns="http://schemas.openxmlformats.org/spreadsheetml/2006/main" count="139" uniqueCount="138">
  <si>
    <t xml:space="preserve">FX Hedge Analysis — EUR Receivable  |  FIN-321 Stage 2</t>
  </si>
  <si>
    <t xml:space="preserve">Scenario 1: U.S. Solar Equipment Importer  |  Analyst: Vanessa H.  |  Date: April 2, 2026</t>
  </si>
  <si>
    <t xml:space="preserve">Yellow = Inputs</t>
  </si>
  <si>
    <t xml:space="preserve">Blue = Assumptions</t>
  </si>
  <si>
    <t xml:space="preserve">Green = Formulas</t>
  </si>
  <si>
    <t xml:space="preserve">Gray = Outputs</t>
  </si>
  <si>
    <t xml:space="preserve">SECTION 1 — INPUTS  (Yellow = Editable | Blue = Assumptions)</t>
  </si>
  <si>
    <t xml:space="preserve">Value</t>
  </si>
  <si>
    <t xml:space="preserve">Source / Notes</t>
  </si>
  <si>
    <t xml:space="preserve">USD Receivable Target (given)</t>
  </si>
  <si>
    <t xml:space="preserve">From Stage 1 memo — $4,500,000 USD equivalent</t>
  </si>
  <si>
    <t xml:space="preserve">EUR/USD Spot Rate (S₀)</t>
  </si>
  <si>
    <t xml:space="preserve">April 2, 2026  |  Source: Investing.com</t>
  </si>
  <si>
    <t xml:space="preserve">1-Year Forward Rate (F₀)</t>
  </si>
  <si>
    <t xml:space="preserve">OTC quote  |  Source: FIN-321 materials</t>
  </si>
  <si>
    <t xml:space="preserve">USD Interest Rate (R_USD)</t>
  </si>
  <si>
    <t xml:space="preserve">Fed Funds Rate  |  Source: Federal Reserve, April 2026</t>
  </si>
  <si>
    <t xml:space="preserve">EUR Interest Rate (R_FC)</t>
  </si>
  <si>
    <t xml:space="preserve">ECB Policy Rate  |  Source: ECB, February 2026</t>
  </si>
  <si>
    <t xml:space="preserve">Time Horizon</t>
  </si>
  <si>
    <t xml:space="preserve">1-year receivable</t>
  </si>
  <si>
    <t xml:space="preserve">Put Strike Price (K_PUT)</t>
  </si>
  <si>
    <t xml:space="preserve">ATM put on EUR (set = S₀)  |  Source: FIN-321 materials</t>
  </si>
  <si>
    <t xml:space="preserve">Put Premium per EUR (PREM_PUT)</t>
  </si>
  <si>
    <t xml:space="preserve">$0.015/EUR  |  Source: FIN-321 materials</t>
  </si>
  <si>
    <t xml:space="preserve">Call Strike Price (K_CALL)</t>
  </si>
  <si>
    <t xml:space="preserve">ATM call on EUR (= S₀) — reference only for payables</t>
  </si>
  <si>
    <t xml:space="preserve">Call Premium per EUR (PREM_CALL)</t>
  </si>
  <si>
    <t xml:space="preserve">$0.018/EUR  |  Source: FIN-321 materials</t>
  </si>
  <si>
    <t xml:space="preserve">  ASSUMPTIONS  (Blue = Derived / Model Assumptions)</t>
  </si>
  <si>
    <t xml:space="preserve">FC Amount in EUR (= USD Target ÷ S₀)</t>
  </si>
  <si>
    <t xml:space="preserve">Back-calculated EUR notional from USD target</t>
  </si>
  <si>
    <t xml:space="preserve">CIP-Implied Forward (= S₀×(1+R_USD)/(1+R_FC))</t>
  </si>
  <si>
    <t xml:space="preserve">Theoretical forward — compare to given F₀</t>
  </si>
  <si>
    <t xml:space="preserve">USD Notional verification (FC_AMT × S₀ — should = $4,500,000)</t>
  </si>
  <si>
    <t xml:space="preserve">Confirms back-calculation is correct</t>
  </si>
  <si>
    <t xml:space="preserve">SECTION 2 — FORWARD HEDGE</t>
  </si>
  <si>
    <t xml:space="preserve">[a]  Lock in: Sell FC_AMT EUR forward at F₀</t>
  </si>
  <si>
    <t xml:space="preserve">FC_AMT × F₀  — eliminates all FX risk</t>
  </si>
  <si>
    <t xml:space="preserve">FORWARD HEDGE RESULT</t>
  </si>
  <si>
    <t xml:space="preserve">← LOCKED IN — no exposure to S_T</t>
  </si>
  <si>
    <t xml:space="preserve">SECTION 3 — MONEY MARKET HEDGE</t>
  </si>
  <si>
    <t xml:space="preserve">[a]  Borrow PV of EUR receivable today (in EUR)</t>
  </si>
  <si>
    <t xml:space="preserve">FC_AMT ÷ (1 + R_FC)</t>
  </si>
  <si>
    <t xml:space="preserve">[b]  Convert EUR borrowing to USD at spot S₀</t>
  </si>
  <si>
    <t xml:space="preserve">EUR PV × S₀</t>
  </si>
  <si>
    <t xml:space="preserve">[c]  Invest USD proceeds at R_USD for 1 year</t>
  </si>
  <si>
    <t xml:space="preserve">USD × (1 + R_USD)</t>
  </si>
  <si>
    <t xml:space="preserve">MONEY MARKET RESULT</t>
  </si>
  <si>
    <t xml:space="preserve">Parity check: MM Result − Forward Result</t>
  </si>
  <si>
    <t xml:space="preserve">Difference = CIP deviation (given F₀=1.0875 ≠ CIP-implied F₀=F0_CIP). See Notes tab.</t>
  </si>
  <si>
    <t xml:space="preserve">📌  NOTE ON PARITY CHECK — CIP Deviation (Scenario-Embedded)</t>
  </si>
  <si>
    <t xml:space="preserve">The MM Hedge steps above correctly follow the textbook method: borrow EUR PV → convert at S₀ → invest at R_USD. This independently produces a forward-equivalent rate of F₀_CIP = S₀ × (1+R_USD)/(1+R_FC) ≈ 1.1728.</t>
  </si>
  <si>
    <t xml:space="preserve">The scenario-provided forward F₀ = 1.0875 does not satisfy CIP with the given interest rates, producing a ~$332K gap. This is a known inconsistency in the course scenario inputs — not a formula error. Both results are shown because the assignment requires computing both methods independently.</t>
  </si>
  <si>
    <t xml:space="preserve">SECTION 4 — OPTION HEDGES</t>
  </si>
  <si>
    <t xml:space="preserve">PUT HEDGE  (floors downside, retains EUR appreciation upside)</t>
  </si>
  <si>
    <t xml:space="preserve">[a]  Total put premium paid today (USD)</t>
  </si>
  <si>
    <t xml:space="preserve">FC_AMT × PREM_PUT</t>
  </si>
  <si>
    <t xml:space="preserve">[b]  Future value of premium at maturity (opportunity cost)</t>
  </si>
  <si>
    <t xml:space="preserve">Premium × (1 + R_USD) — effective cost at year-end</t>
  </si>
  <si>
    <t xml:space="preserve">[c]  Floor proceeds when S_T ≤ K_PUT (put exercised)</t>
  </si>
  <si>
    <t xml:space="preserve">FC_AMT × K_PUT − FV(premium)</t>
  </si>
  <si>
    <t xml:space="preserve">PUT FLOOR (minimum net USD proceeds)</t>
  </si>
  <si>
    <t xml:space="preserve">← FLOOR — proceeds rise above this if EUR appreciates</t>
  </si>
  <si>
    <t xml:space="preserve">CALL HEDGE  (reference only — applies to payables, not this receivable)</t>
  </si>
  <si>
    <t xml:space="preserve">[a]  Total call premium paid today (USD)</t>
  </si>
  <si>
    <t xml:space="preserve">FC_AMT × PREM_CALL — shown for completeness</t>
  </si>
  <si>
    <t xml:space="preserve">[b]  Future value of call premium at maturity</t>
  </si>
  <si>
    <t xml:space="preserve">Premium × (1 + R_USD)</t>
  </si>
  <si>
    <t xml:space="preserve">SECTION 5 — SENSITIVITY ANALYSIS  (S_T range: S₀ × 0.95 to S₀ × 1.05 in 1% steps)</t>
  </si>
  <si>
    <t xml:space="preserve">EUR/USD at
Maturity (S_T)</t>
  </si>
  <si>
    <t xml:space="preserve">0. No Hedge
(USD Proceeds)</t>
  </si>
  <si>
    <t xml:space="preserve">1. Forward Hedge
(USD Proceeds)</t>
  </si>
  <si>
    <t xml:space="preserve">2. MM Hedge
(USD Proceeds)</t>
  </si>
  <si>
    <t xml:space="preserve">3. Put Hedge
(USD Proceeds)</t>
  </si>
  <si>
    <t xml:space="preserve">Put vs. No-Hedge
Advantage</t>
  </si>
  <si>
    <t xml:space="preserve">SECTION 6 — SUMMARY OUTPUT  (Gray = Final KPIs)</t>
  </si>
  <si>
    <t xml:space="preserve">Forward Hedge — Locked USD Proceeds</t>
  </si>
  <si>
    <t xml:space="preserve">Money Market Hedge — Locked USD Proceeds</t>
  </si>
  <si>
    <t xml:space="preserve">Put Option — Floor Proceeds (net of premium FV)</t>
  </si>
  <si>
    <t xml:space="preserve">CIP-Implied MM vs. Forward parity gap</t>
  </si>
  <si>
    <t xml:space="preserve">Best strategy if EUR depreciates (S_T &lt; F₀)</t>
  </si>
  <si>
    <t xml:space="preserve">Forward / MM Lock</t>
  </si>
  <si>
    <t xml:space="preserve">Best strategy if EUR appreciates (S_T &gt; S₀)</t>
  </si>
  <si>
    <t xml:space="preserve">Put Hedge (retains upside)</t>
  </si>
  <si>
    <t xml:space="preserve">Hedge Recommendation (Stage 4)</t>
  </si>
  <si>
    <t xml:space="preserve">⟶ Pending — to be finalized in Stage 4</t>
  </si>
  <si>
    <t xml:space="preserve">Notes &amp; Assumptions — FIN-321 Stage 2 FX Hedge Model</t>
  </si>
  <si>
    <t xml:space="preserve">COLOR CODING CONVENTION</t>
  </si>
  <si>
    <t xml:space="preserve">Yellow</t>
  </si>
  <si>
    <t xml:space="preserve">Inputs / editable variables — all scenario data from Stage 1 memo. Change any yellow cell to re-run the entire model automatically.</t>
  </si>
  <si>
    <t xml:space="preserve">Blue</t>
  </si>
  <si>
    <t xml:space="preserve">Assumptions — derived or modeler-set values. FC_AMT is back-calculated from the USD target and spot rate. CIP-implied forward is computed here.</t>
  </si>
  <si>
    <t xml:space="preserve">Green</t>
  </si>
  <si>
    <t xml:space="preserve">Formulas / intermediate calculation steps — show your work. Do not edit directly.</t>
  </si>
  <si>
    <t xml:space="preserve">Gray</t>
  </si>
  <si>
    <t xml:space="preserve">Outputs / summary KPIs — final results used for the hedge decision.</t>
  </si>
  <si>
    <t xml:space="preserve">MODEL ASSUMPTIONS &amp; JUDGMENTS</t>
  </si>
  <si>
    <t xml:space="preserve">FC_AMT derivation</t>
  </si>
  <si>
    <t xml:space="preserve">The Stage 1 memo states a '$4,500,000 EUR-denominated payment equivalent.' The EUR notional is back-calculated as USD_TARGET ÷ S₀ = $4,500,000 ÷ 1.1544 = 3,898,128.90 EUR. Treating FC_AMT as a formula (=C8/C9) means it updates automatically if S₀ is changed.</t>
  </si>
  <si>
    <t xml:space="preserve">Interest rate basis</t>
  </si>
  <si>
    <t xml:space="preserve">Rates are applied as annual simple interest over 365 days: (1 + R). Continuous compounding is not used. This is consistent with standard textbook treatment in FIN-321 and the Boeing/British Airways class examples.</t>
  </si>
  <si>
    <t xml:space="preserve">Option premium FV</t>
  </si>
  <si>
    <t xml:space="preserve">The future value of each premium uses simple interest: Total_Premium × (1 + R_USD). This converts the upfront cost into a year-end equivalent, making it directly comparable to proceeds received at maturity. Black-Scholes pricing is not applied; premiums are scenario-provided per the FIN-321 materials.</t>
  </si>
  <si>
    <t xml:space="preserve">Put hedge payoff logic</t>
  </si>
  <si>
    <t xml:space="preserve">Net proceeds = MAX(K_PUT, S_T) × FC_AMT − FV(PREM_PUT). If S_T ≥ K_PUT: put expires worthless, firm sells EUR at market rate S_T. If S_T &lt; K_PUT: firm exercises put and sells at strike K_PUT. This logic is applied row-by-row in the sensitivity table.</t>
  </si>
  <si>
    <t xml:space="preserve">CIP deviation (KEY)</t>
  </si>
  <si>
    <t xml:space="preserve">The scenario-provided forward rate F₀ = 1.0875 does NOT satisfy covered interest rate parity given the stated rates. CIP implies: F₀_CIP = S₀ × (1+R_USD)/(1+R_FC) = 1.1544 × 1.03625 / 1.02 ≈ 1.1728. The $332K parity gap visible in Section 3 reflects this scenario-embedded deviation — it is not a formula error. In practice, such deviations signal market frictions, capital controls, or simplified scenario inputs. The parity check row is included to show awareness of this, as required by the assignment.</t>
  </si>
  <si>
    <t xml:space="preserve">Sensitivity table range</t>
  </si>
  <si>
    <t xml:space="preserve">S_T ranges from S₀ × 0.95 to S₀ × 1.05 in eleven 1% increments, producing S_T from 1.0967 to 1.2121. This covers a realistic ±5% EUR/USD move over 12 months.</t>
  </si>
  <si>
    <t xml:space="preserve">Bid-ask spreads</t>
  </si>
  <si>
    <t xml:space="preserve">Ignored. All rates are mid-market benchmarks. Real OTC pricing would widen spreads on forwards and options.</t>
  </si>
  <si>
    <t xml:space="preserve">Transaction costs</t>
  </si>
  <si>
    <t xml:space="preserve">Excluded for simplicity per assignment scope.</t>
  </si>
  <si>
    <t xml:space="preserve">Call option</t>
  </si>
  <si>
    <t xml:space="preserve">Shown for reference in Section 4. The firm holds a EUR receivable, so the relevant option is the put (protects against EUR depreciation). A call would hedge a EUR payable.</t>
  </si>
  <si>
    <t xml:space="preserve">DATA SOURCES</t>
  </si>
  <si>
    <t xml:space="preserve">EUR/USD Spot 1.1544</t>
  </si>
  <si>
    <t xml:space="preserve">Investing.com. (2026, April 2). EUR/USD Historical Data.</t>
  </si>
  <si>
    <t xml:space="preserve">1-Yr Forward 1.0875</t>
  </si>
  <si>
    <t xml:space="preserve">FIN-321-002 Course Materials — Scenario 1: U.S. Solar Equipment Importer.</t>
  </si>
  <si>
    <t xml:space="preserve">R_USD 3.625%</t>
  </si>
  <si>
    <t xml:space="preserve">Trading Economics. (2026, April 2). United States Fed Funds Rate. / Federal Reserve.</t>
  </si>
  <si>
    <t xml:space="preserve">R_EUR 2.000%</t>
  </si>
  <si>
    <t xml:space="preserve">European Central Bank. (2026, February 5). Monetary Policy Decisions.</t>
  </si>
  <si>
    <t xml:space="preserve">Option premiums (Put $0.015, Call $0.018)</t>
  </si>
  <si>
    <t xml:space="preserve">FIN-321 Scenario 1 course materials — scenario-provided, not market-quoted or Black-Scholes derived.</t>
  </si>
  <si>
    <t xml:space="preserve">FILE METADATA</t>
  </si>
  <si>
    <t xml:space="preserve">Author</t>
  </si>
  <si>
    <t xml:space="preserve">Vanessa H. (with AI assistance — Claude Sonnet 4.6)</t>
  </si>
  <si>
    <t xml:space="preserve">Course</t>
  </si>
  <si>
    <t xml:space="preserve">FIN-321, Spring 2026</t>
  </si>
  <si>
    <t xml:space="preserve">Assignment</t>
  </si>
  <si>
    <t xml:space="preserve">Stage 2 — Excel Hedge Model Build</t>
  </si>
  <si>
    <t xml:space="preserve">File name</t>
  </si>
  <si>
    <t xml:space="preserve">Huang-Vanessa-stage2-model.xlsx</t>
  </si>
  <si>
    <t xml:space="preserve">Stage 3 preview</t>
  </si>
  <si>
    <t xml:space="preserve">Write a formal technical specification documenting this model's architecture, formula logic, key judgment calls (especially the CIP deviation and FC_AMT derivation), and proposed improvements for a rebuilt version.</t>
  </si>
</sst>
</file>

<file path=xl/styles.xml><?xml version="1.0" encoding="utf-8"?>
<styleSheet xmlns="http://schemas.openxmlformats.org/spreadsheetml/2006/main">
  <numFmts count="9">
    <numFmt numFmtId="164" formatCode="General"/>
    <numFmt numFmtId="165" formatCode="\$#,##0"/>
    <numFmt numFmtId="166" formatCode="0.0000"/>
    <numFmt numFmtId="167" formatCode="0.000%"/>
    <numFmt numFmtId="168" formatCode="0&quot; days&quot;"/>
    <numFmt numFmtId="169" formatCode="\$0.0000"/>
    <numFmt numFmtId="170" formatCode="\$#,##0.00"/>
    <numFmt numFmtId="171" formatCode="\$#,##0.00"/>
    <numFmt numFmtId="172" formatCode="@"/>
  </numFmts>
  <fonts count="3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444444"/>
      <name val="Arial"/>
      <family val="0"/>
      <charset val="1"/>
    </font>
    <font>
      <b val="true"/>
      <sz val="8"/>
      <color rgb="FF000000"/>
      <name val="Arial"/>
      <family val="0"/>
      <charset val="1"/>
    </font>
    <font>
      <b val="true"/>
      <sz val="11"/>
      <color rgb="FFFFFFFF"/>
      <name val="Arial"/>
      <family val="0"/>
      <charset val="1"/>
    </font>
    <font>
      <b val="true"/>
      <sz val="9"/>
      <color rgb="FF555555"/>
      <name val="Arial"/>
      <family val="0"/>
      <charset val="1"/>
    </font>
    <font>
      <sz val="10"/>
      <color rgb="FF000000"/>
      <name val="Arial"/>
      <family val="0"/>
      <charset val="1"/>
    </font>
    <font>
      <b val="true"/>
      <sz val="10"/>
      <color rgb="FF000080"/>
      <name val="Arial"/>
      <family val="0"/>
      <charset val="1"/>
    </font>
    <font>
      <i val="true"/>
      <sz val="9"/>
      <color rgb="FF666666"/>
      <name val="Arial"/>
      <family val="0"/>
      <charset val="1"/>
    </font>
    <font>
      <sz val="10"/>
      <color rgb="FF000080"/>
      <name val="Arial"/>
      <family val="0"/>
      <charset val="1"/>
    </font>
    <font>
      <sz val="10"/>
      <color rgb="FF444444"/>
      <name val="Arial"/>
      <family val="0"/>
      <charset val="1"/>
    </font>
    <font>
      <b val="true"/>
      <sz val="10"/>
      <color rgb="FF000000"/>
      <name val="Arial"/>
      <family val="0"/>
      <charset val="1"/>
    </font>
    <font>
      <i val="true"/>
      <sz val="10"/>
      <color rgb="FF888888"/>
      <name val="Arial"/>
      <family val="0"/>
      <charset val="1"/>
    </font>
    <font>
      <b val="true"/>
      <sz val="10"/>
      <color rgb="FF7F4F00"/>
      <name val="Arial"/>
      <family val="0"/>
      <charset val="1"/>
    </font>
    <font>
      <sz val="9"/>
      <color rgb="FF000000"/>
      <name val="Arial"/>
      <family val="0"/>
      <charset val="1"/>
    </font>
    <font>
      <sz val="10"/>
      <name val="Arial"/>
      <family val="0"/>
      <charset val="1"/>
    </font>
    <font>
      <b val="true"/>
      <sz val="10"/>
      <color rgb="FF777777"/>
      <name val="Arial"/>
      <family val="0"/>
      <charset val="1"/>
    </font>
    <font>
      <sz val="10"/>
      <color rgb="FF888888"/>
      <name val="Arial"/>
      <family val="0"/>
      <charset val="1"/>
    </font>
    <font>
      <b val="true"/>
      <sz val="9"/>
      <color rgb="FFFFFFFF"/>
      <name val="Arial"/>
      <family val="0"/>
      <charset val="1"/>
    </font>
    <font>
      <b val="true"/>
      <sz val="10"/>
      <name val="Arial"/>
      <family val="0"/>
      <charset val="1"/>
    </font>
    <font>
      <b val="true"/>
      <sz val="10"/>
      <color rgb="FFCC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FFFFFF"/>
      <name val="Arial"/>
      <family val="0"/>
      <charset val="1"/>
    </font>
    <font>
      <b val="true"/>
      <sz val="10"/>
      <color rgb="FFFFFFFF"/>
      <name val="Arial"/>
      <family val="0"/>
      <charset val="1"/>
    </font>
    <font>
      <b val="true"/>
      <sz val="9"/>
      <name val="Arial"/>
      <family val="0"/>
      <charset val="1"/>
    </font>
    <font>
      <sz val="9"/>
      <name val="Arial"/>
      <family val="0"/>
      <charset val="1"/>
    </font>
    <font>
      <b val="true"/>
      <sz val="9"/>
      <color rgb="FFCC0000"/>
      <name val="Arial"/>
      <family val="0"/>
      <charset val="1"/>
    </font>
    <font>
      <sz val="9"/>
      <color rgb="FF7F0000"/>
      <name val="Arial"/>
      <family val="0"/>
      <charset val="1"/>
    </font>
  </fonts>
  <fills count="12">
    <fill>
      <patternFill patternType="none"/>
    </fill>
    <fill>
      <patternFill patternType="gray125"/>
    </fill>
    <fill>
      <patternFill patternType="solid">
        <fgColor rgb="FF1F3864"/>
        <bgColor rgb="FF2E4057"/>
      </patternFill>
    </fill>
    <fill>
      <patternFill patternType="solid">
        <fgColor rgb="FFFFFF00"/>
        <bgColor rgb="FFFFFF00"/>
      </patternFill>
    </fill>
    <fill>
      <patternFill patternType="solid">
        <fgColor rgb="FFBDD7EE"/>
        <bgColor rgb="FFD9D9D9"/>
      </patternFill>
    </fill>
    <fill>
      <patternFill patternType="solid">
        <fgColor rgb="FFE2EFDA"/>
        <bgColor rgb="FFF5F5F5"/>
      </patternFill>
    </fill>
    <fill>
      <patternFill patternType="solid">
        <fgColor rgb="FFD9D9D9"/>
        <bgColor rgb="FFBDD7EE"/>
      </patternFill>
    </fill>
    <fill>
      <patternFill patternType="solid">
        <fgColor rgb="FF2255AA"/>
        <bgColor rgb="FF1F3864"/>
      </patternFill>
    </fill>
    <fill>
      <patternFill patternType="solid">
        <fgColor rgb="FFFFF2CC"/>
        <bgColor rgb="FFF5F5F5"/>
      </patternFill>
    </fill>
    <fill>
      <patternFill patternType="solid">
        <fgColor rgb="FF2E4057"/>
        <bgColor rgb="FF1F3864"/>
      </patternFill>
    </fill>
    <fill>
      <patternFill patternType="solid">
        <fgColor rgb="FFF5F5F5"/>
        <bgColor rgb="FFFFFFFF"/>
      </patternFill>
    </fill>
    <fill>
      <patternFill patternType="solid">
        <fgColor rgb="FFFFFFFF"/>
        <bgColor rgb="FFF5F5F5"/>
      </patternFill>
    </fill>
  </fills>
  <borders count="10">
    <border diagonalUp="false" diagonalDown="false">
      <left/>
      <right/>
      <top/>
      <bottom/>
      <diagonal/>
    </border>
    <border diagonalUp="false" diagonalDown="false">
      <left style="medium">
        <color rgb="FFBF8F00"/>
      </left>
      <right/>
      <top style="medium">
        <color rgb="FFBF8F00"/>
      </top>
      <bottom/>
      <diagonal/>
    </border>
    <border diagonalUp="false" diagonalDown="false">
      <left/>
      <right/>
      <top style="medium">
        <color rgb="FFBF8F00"/>
      </top>
      <bottom/>
      <diagonal/>
    </border>
    <border diagonalUp="false" diagonalDown="false">
      <left/>
      <right style="medium">
        <color rgb="FFBF8F00"/>
      </right>
      <top style="medium">
        <color rgb="FFBF8F00"/>
      </top>
      <bottom/>
      <diagonal/>
    </border>
    <border diagonalUp="false" diagonalDown="false">
      <left style="medium">
        <color rgb="FFBF8F00"/>
      </left>
      <right style="medium">
        <color rgb="FFBF8F00"/>
      </right>
      <top/>
      <bottom/>
      <diagonal/>
    </border>
    <border diagonalUp="false" diagonalDown="false">
      <left style="medium">
        <color rgb="FFBF8F00"/>
      </left>
      <right/>
      <top/>
      <bottom/>
      <diagonal/>
    </border>
    <border diagonalUp="false" diagonalDown="false">
      <left style="medium">
        <color rgb="FFBF8F00"/>
      </left>
      <right/>
      <top/>
      <bottom style="medium">
        <color rgb="FFBF8F00"/>
      </bottom>
      <diagonal/>
    </border>
    <border diagonalUp="false" diagonalDown="false">
      <left/>
      <right/>
      <top/>
      <bottom style="medium">
        <color rgb="FFBF8F00"/>
      </bottom>
      <diagonal/>
    </border>
    <border diagonalUp="false" diagonalDown="false">
      <left/>
      <right style="medium">
        <color rgb="FFBF8F00"/>
      </right>
      <top/>
      <bottom style="medium">
        <color rgb="FFBF8F00"/>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6" fillId="5" borderId="0" xfId="0" applyFont="true" applyBorder="false" applyAlignment="true" applyProtection="false">
      <alignment horizontal="center" vertical="center" textRotation="0" wrapText="false" indent="0" shrinkToFit="false"/>
      <protection locked="true" hidden="false"/>
    </xf>
    <xf numFmtId="164" fontId="6" fillId="6"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1" shrinkToFit="false"/>
      <protection locked="true" hidden="false"/>
    </xf>
    <xf numFmtId="165" fontId="10" fillId="3"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6" fontId="10" fillId="3" borderId="0" xfId="0" applyFont="true" applyBorder="false" applyAlignment="true" applyProtection="false">
      <alignment horizontal="right" vertical="bottom" textRotation="0" wrapText="false" indent="0" shrinkToFit="false"/>
      <protection locked="true" hidden="false"/>
    </xf>
    <xf numFmtId="167" fontId="10" fillId="3" borderId="0" xfId="0" applyFont="true" applyBorder="false" applyAlignment="true" applyProtection="false">
      <alignment horizontal="right" vertical="bottom" textRotation="0" wrapText="false" indent="0" shrinkToFit="false"/>
      <protection locked="true" hidden="false"/>
    </xf>
    <xf numFmtId="168" fontId="10" fillId="3" borderId="0" xfId="0" applyFont="true" applyBorder="false" applyAlignment="true" applyProtection="false">
      <alignment horizontal="right" vertical="bottom" textRotation="0" wrapText="false" indent="0" shrinkToFit="false"/>
      <protection locked="true" hidden="false"/>
    </xf>
    <xf numFmtId="169" fontId="10" fillId="3" borderId="0" xfId="0" applyFont="true" applyBorder="false" applyAlignment="true" applyProtection="false">
      <alignment horizontal="right" vertical="bottom" textRotation="0" wrapText="false" indent="0" shrinkToFit="false"/>
      <protection locked="true" hidden="false"/>
    </xf>
    <xf numFmtId="164" fontId="7" fillId="7" borderId="0" xfId="0" applyFont="true" applyBorder="true" applyAlignment="true" applyProtection="false">
      <alignment horizontal="left" vertical="center" textRotation="0" wrapText="false" indent="1" shrinkToFit="false"/>
      <protection locked="true" hidden="false"/>
    </xf>
    <xf numFmtId="170" fontId="12" fillId="4" borderId="0" xfId="0" applyFont="true" applyBorder="false" applyAlignment="true" applyProtection="false">
      <alignment horizontal="right" vertical="bottom" textRotation="0" wrapText="false" indent="0" shrinkToFit="false"/>
      <protection locked="true" hidden="false"/>
    </xf>
    <xf numFmtId="166" fontId="12" fillId="4"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1" shrinkToFit="false"/>
      <protection locked="true" hidden="false"/>
    </xf>
    <xf numFmtId="170" fontId="9" fillId="5"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2"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70" fontId="14" fillId="6"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2"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0" fillId="8" borderId="2" xfId="0" applyFont="false" applyBorder="true" applyAlignment="true" applyProtection="false">
      <alignment horizontal="general" vertical="bottom" textRotation="0" wrapText="false" indent="0" shrinkToFit="false"/>
      <protection locked="true" hidden="false"/>
    </xf>
    <xf numFmtId="164" fontId="0" fillId="8" borderId="3" xfId="0" applyFont="false" applyBorder="true" applyAlignment="true" applyProtection="false">
      <alignment horizontal="general" vertical="bottom" textRotation="0" wrapText="false" indent="0" shrinkToFit="false"/>
      <protection locked="true" hidden="false"/>
    </xf>
    <xf numFmtId="164" fontId="16" fillId="8" borderId="4" xfId="0" applyFont="true" applyBorder="true" applyAlignment="true" applyProtection="false">
      <alignment horizontal="left" vertical="center" textRotation="0" wrapText="false" indent="1" shrinkToFit="false"/>
      <protection locked="true" hidden="false"/>
    </xf>
    <xf numFmtId="164" fontId="17" fillId="8" borderId="5" xfId="0" applyFont="true" applyBorder="true" applyAlignment="true" applyProtection="false">
      <alignment horizontal="left" vertical="center" textRotation="0" wrapText="true" indent="2" shrinkToFit="false"/>
      <protection locked="true" hidden="false"/>
    </xf>
    <xf numFmtId="164" fontId="17" fillId="8" borderId="4" xfId="0" applyFont="true" applyBorder="true" applyAlignment="true" applyProtection="false">
      <alignment horizontal="left" vertical="center" textRotation="0" wrapText="true" indent="2" shrinkToFit="false"/>
      <protection locked="true" hidden="false"/>
    </xf>
    <xf numFmtId="164" fontId="0" fillId="8" borderId="6" xfId="0" applyFont="false" applyBorder="true" applyAlignment="true" applyProtection="false">
      <alignment horizontal="general" vertical="bottom" textRotation="0" wrapText="false" indent="0" shrinkToFit="false"/>
      <protection locked="true" hidden="false"/>
    </xf>
    <xf numFmtId="164" fontId="0" fillId="8" borderId="7" xfId="0" applyFont="false" applyBorder="true" applyAlignment="true" applyProtection="false">
      <alignment horizontal="general" vertical="bottom" textRotation="0" wrapText="false" indent="0" shrinkToFit="false"/>
      <protection locked="true" hidden="false"/>
    </xf>
    <xf numFmtId="164" fontId="0" fillId="8" borderId="8" xfId="0" applyFont="fals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1" shrinkToFit="false"/>
      <protection locked="true" hidden="false"/>
    </xf>
    <xf numFmtId="164" fontId="10" fillId="0" borderId="0" xfId="0" applyFont="true" applyBorder="false" applyAlignment="true" applyProtection="false">
      <alignment horizontal="left" vertical="center" textRotation="0" wrapText="false" indent="1" shrinkToFit="false"/>
      <protection locked="true" hidden="false"/>
    </xf>
    <xf numFmtId="170" fontId="18" fillId="5" borderId="0" xfId="0" applyFont="true" applyBorder="false" applyAlignment="true" applyProtection="false">
      <alignment horizontal="right" vertical="bottom" textRotation="0" wrapText="false" indent="0" shrinkToFit="false"/>
      <protection locked="true" hidden="false"/>
    </xf>
    <xf numFmtId="170" fontId="18" fillId="6"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left" vertical="center" textRotation="0" wrapText="false" indent="1" shrinkToFit="false"/>
      <protection locked="true" hidden="false"/>
    </xf>
    <xf numFmtId="164" fontId="20" fillId="0" borderId="0" xfId="0" applyFont="true" applyBorder="false" applyAlignment="true" applyProtection="false">
      <alignment horizontal="left" vertical="center" textRotation="0" wrapText="false" indent="2" shrinkToFit="false"/>
      <protection locked="true" hidden="false"/>
    </xf>
    <xf numFmtId="164" fontId="21" fillId="9" borderId="9" xfId="0" applyFont="true" applyBorder="true" applyAlignment="true" applyProtection="false">
      <alignment horizontal="center" vertical="center" textRotation="0" wrapText="true" indent="0" shrinkToFit="false"/>
      <protection locked="true" hidden="false"/>
    </xf>
    <xf numFmtId="166" fontId="18" fillId="10" borderId="9" xfId="0" applyFont="true" applyBorder="true" applyAlignment="true" applyProtection="false">
      <alignment horizontal="right" vertical="bottom" textRotation="0" wrapText="false" indent="0" shrinkToFit="false"/>
      <protection locked="true" hidden="false"/>
    </xf>
    <xf numFmtId="165" fontId="18" fillId="10" borderId="9" xfId="0" applyFont="true" applyBorder="true" applyAlignment="true" applyProtection="false">
      <alignment horizontal="right" vertical="bottom" textRotation="0" wrapText="false" indent="0" shrinkToFit="false"/>
      <protection locked="true" hidden="false"/>
    </xf>
    <xf numFmtId="166" fontId="18" fillId="11" borderId="9" xfId="0" applyFont="true" applyBorder="true" applyAlignment="true" applyProtection="false">
      <alignment horizontal="right" vertical="bottom" textRotation="0" wrapText="false" indent="0" shrinkToFit="false"/>
      <protection locked="true" hidden="false"/>
    </xf>
    <xf numFmtId="165" fontId="18" fillId="11" borderId="9" xfId="0" applyFont="true" applyBorder="true" applyAlignment="true" applyProtection="false">
      <alignment horizontal="right" vertical="bottom" textRotation="0" wrapText="false" indent="0" shrinkToFit="false"/>
      <protection locked="true" hidden="false"/>
    </xf>
    <xf numFmtId="171" fontId="22" fillId="6" borderId="0" xfId="0" applyFont="true" applyBorder="false" applyAlignment="true" applyProtection="false">
      <alignment horizontal="right" vertical="bottom" textRotation="0" wrapText="false" indent="0" shrinkToFit="false"/>
      <protection locked="true" hidden="false"/>
    </xf>
    <xf numFmtId="172" fontId="10" fillId="6" borderId="0" xfId="0" applyFont="true" applyBorder="false" applyAlignment="true" applyProtection="false">
      <alignment horizontal="left" vertical="bottom" textRotation="0" wrapText="false" indent="0" shrinkToFit="false"/>
      <protection locked="true" hidden="false"/>
    </xf>
    <xf numFmtId="172" fontId="23" fillId="6" borderId="0" xfId="0" applyFont="true" applyBorder="false" applyAlignment="true" applyProtection="false">
      <alignment horizontal="left" vertical="bottom" textRotation="0" wrapText="false" indent="0" shrinkToFit="false"/>
      <protection locked="true" hidden="false"/>
    </xf>
    <xf numFmtId="164" fontId="27" fillId="2" borderId="0" xfId="0" applyFont="true" applyBorder="true" applyAlignment="true" applyProtection="false">
      <alignment horizontal="center" vertical="center" textRotation="0" wrapText="false" indent="0" shrinkToFit="false"/>
      <protection locked="true" hidden="false"/>
    </xf>
    <xf numFmtId="164" fontId="28" fillId="9" borderId="0" xfId="0" applyFont="true" applyBorder="true" applyAlignment="true" applyProtection="false">
      <alignment horizontal="left" vertical="bottom" textRotation="0" wrapText="false" indent="1" shrinkToFit="false"/>
      <protection locked="true" hidden="false"/>
    </xf>
    <xf numFmtId="164" fontId="29" fillId="0" borderId="0" xfId="0" applyFont="true" applyBorder="false" applyAlignment="true" applyProtection="false">
      <alignment horizontal="left" vertical="top" textRotation="0" wrapText="false" indent="1"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4" fontId="31" fillId="0" borderId="0" xfId="0" applyFont="true" applyBorder="false" applyAlignment="true" applyProtection="false">
      <alignment horizontal="left" vertical="top" textRotation="0" wrapText="false" indent="1" shrinkToFit="false"/>
      <protection locked="true" hidden="false"/>
    </xf>
    <xf numFmtId="164" fontId="32" fillId="0" borderId="0" xfId="0" applyFont="true" applyBorder="false" applyAlignment="true" applyProtection="false">
      <alignment horizontal="general" vertical="top" textRotation="0" wrapText="tru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7F0000"/>
      <rgbColor rgb="FF008000"/>
      <rgbColor rgb="FF000080"/>
      <rgbColor rgb="FF777777"/>
      <rgbColor rgb="FF800080"/>
      <rgbColor rgb="FF008080"/>
      <rgbColor rgb="FFAAAAAA"/>
      <rgbColor rgb="FF878787"/>
      <rgbColor rgb="FF9999FF"/>
      <rgbColor rgb="FFBE4B48"/>
      <rgbColor rgb="FFFFF2CC"/>
      <rgbColor rgb="FFF5F5F5"/>
      <rgbColor rgb="FF660066"/>
      <rgbColor rgb="FFFF8080"/>
      <rgbColor rgb="FF2255AA"/>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D9D9D9"/>
      <rgbColor rgb="FF4A7EBB"/>
      <rgbColor rgb="FF33CCCC"/>
      <rgbColor rgb="FF98B855"/>
      <rgbColor rgb="FFFFCC00"/>
      <rgbColor rgb="FFBF8F00"/>
      <rgbColor rgb="FFFF6600"/>
      <rgbColor rgb="FF7D5FA0"/>
      <rgbColor rgb="FF888888"/>
      <rgbColor rgb="FF1F3864"/>
      <rgbColor rgb="FF666666"/>
      <rgbColor rgb="FF003300"/>
      <rgbColor rgb="FF444444"/>
      <rgbColor rgb="FF7F4F00"/>
      <rgbColor rgb="FF993366"/>
      <rgbColor rgb="FF555555"/>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USD Proceeds by Hedging Strategy vs. EUR/USD at Maturity</a:t>
            </a:r>
          </a:p>
        </c:rich>
      </c:tx>
      <c:overlay val="0"/>
      <c:spPr>
        <a:noFill/>
        <a:ln w="0">
          <a:noFill/>
        </a:ln>
      </c:spPr>
    </c:title>
    <c:autoTitleDeleted val="0"/>
    <c:plotArea>
      <c:lineChart>
        <c:grouping val="standard"/>
        <c:varyColors val="0"/>
        <c:ser>
          <c:idx val="0"/>
          <c:order val="0"/>
          <c:tx>
            <c:strRef>
              <c:f>"0. No Hedge"</c:f>
              <c:strCache>
                <c:ptCount val="1"/>
                <c:pt idx="0">
                  <c:v>0. No Hedge</c:v>
                </c:pt>
              </c:strCache>
            </c:strRef>
          </c:tx>
          <c:spPr>
            <a:solidFill>
              <a:srgbClr val="4a7ebb"/>
            </a:solidFill>
            <a:ln w="4752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'Hedge Model'!$B$54:$B$64</c:f>
              <c:strCache>
                <c:ptCount val="11"/>
                <c:pt idx="0">
                  <c:v>[b]  Future value of call premium at maturity</c:v>
                </c:pt>
                <c:pt idx="1">
                  <c:v/>
                </c:pt>
                <c:pt idx="2">
                  <c:v/>
                </c:pt>
                <c:pt idx="3">
                  <c:v>SECTION 5 — SENSITIVITY ANALYSIS  (S_T range: S₀ × 0.95 to S₀ × 1.05 in 1% steps)</c:v>
                </c:pt>
                <c:pt idx="4">
                  <c:v>EUR/USD at
Maturity (S_T)</c:v>
                </c:pt>
                <c:pt idx="5">
                  <c:v>1.0967</c:v>
                </c:pt>
                <c:pt idx="6">
                  <c:v>1.1082</c:v>
                </c:pt>
                <c:pt idx="7">
                  <c:v>1.1198</c:v>
                </c:pt>
                <c:pt idx="8">
                  <c:v>1.1313</c:v>
                </c:pt>
                <c:pt idx="9">
                  <c:v>1.1429</c:v>
                </c:pt>
                <c:pt idx="10">
                  <c:v>1.1544</c:v>
                </c:pt>
              </c:strCache>
            </c:strRef>
          </c:cat>
          <c:val>
            <c:numRef>
              <c:f>'Hedge Model'!$C$54:$C$64</c:f>
              <c:numCache>
                <c:formatCode>\$#,##0.00</c:formatCode>
                <c:ptCount val="11"/>
                <c:pt idx="0">
                  <c:v>72709.8492723493</c:v>
                </c:pt>
                <c:pt idx="5">
                  <c:v>4275000</c:v>
                </c:pt>
                <c:pt idx="6">
                  <c:v>4320000</c:v>
                </c:pt>
                <c:pt idx="7">
                  <c:v>4365000</c:v>
                </c:pt>
                <c:pt idx="8">
                  <c:v>4410000</c:v>
                </c:pt>
                <c:pt idx="9">
                  <c:v>4455000</c:v>
                </c:pt>
                <c:pt idx="10">
                  <c:v>4500000</c:v>
                </c:pt>
              </c:numCache>
            </c:numRef>
          </c:val>
          <c:smooth val="1"/>
        </c:ser>
        <c:ser>
          <c:idx val="1"/>
          <c:order val="1"/>
          <c:tx>
            <c:strRef>
              <c:f>"1. Forward Hedge"</c:f>
              <c:strCache>
                <c:ptCount val="1"/>
                <c:pt idx="0">
                  <c:v>1. Forward Hedge</c:v>
                </c:pt>
              </c:strCache>
            </c:strRef>
          </c:tx>
          <c:spPr>
            <a:solidFill>
              <a:srgbClr val="be4b48"/>
            </a:solidFill>
            <a:ln w="4752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'Hedge Model'!$B$54:$B$64</c:f>
              <c:strCache>
                <c:ptCount val="11"/>
                <c:pt idx="0">
                  <c:v>[b]  Future value of call premium at maturity</c:v>
                </c:pt>
                <c:pt idx="1">
                  <c:v/>
                </c:pt>
                <c:pt idx="2">
                  <c:v/>
                </c:pt>
                <c:pt idx="3">
                  <c:v>SECTION 5 — SENSITIVITY ANALYSIS  (S_T range: S₀ × 0.95 to S₀ × 1.05 in 1% steps)</c:v>
                </c:pt>
                <c:pt idx="4">
                  <c:v>EUR/USD at
Maturity (S_T)</c:v>
                </c:pt>
                <c:pt idx="5">
                  <c:v>1.0967</c:v>
                </c:pt>
                <c:pt idx="6">
                  <c:v>1.1082</c:v>
                </c:pt>
                <c:pt idx="7">
                  <c:v>1.1198</c:v>
                </c:pt>
                <c:pt idx="8">
                  <c:v>1.1313</c:v>
                </c:pt>
                <c:pt idx="9">
                  <c:v>1.1429</c:v>
                </c:pt>
                <c:pt idx="10">
                  <c:v>1.1544</c:v>
                </c:pt>
              </c:strCache>
            </c:strRef>
          </c:cat>
          <c:val>
            <c:numRef>
              <c:f>'Hedge Model'!$D$54:$D$64</c:f>
              <c:numCache>
                <c:formatCode>\$#,##0</c:formatCode>
                <c:ptCount val="11"/>
                <c:pt idx="5">
                  <c:v>4239215.17671518</c:v>
                </c:pt>
                <c:pt idx="6">
                  <c:v>4239215.17671518</c:v>
                </c:pt>
                <c:pt idx="7">
                  <c:v>4239215.17671518</c:v>
                </c:pt>
                <c:pt idx="8">
                  <c:v>4239215.17671518</c:v>
                </c:pt>
                <c:pt idx="9">
                  <c:v>4239215.17671518</c:v>
                </c:pt>
                <c:pt idx="10">
                  <c:v>4239215.17671518</c:v>
                </c:pt>
              </c:numCache>
            </c:numRef>
          </c:val>
          <c:smooth val="1"/>
        </c:ser>
        <c:ser>
          <c:idx val="2"/>
          <c:order val="2"/>
          <c:tx>
            <c:strRef>
              <c:f>"2. MM Hedge"</c:f>
              <c:strCache>
                <c:ptCount val="1"/>
                <c:pt idx="0">
                  <c:v>2. MM Hedge</c:v>
                </c:pt>
              </c:strCache>
            </c:strRef>
          </c:tx>
          <c:spPr>
            <a:solidFill>
              <a:srgbClr val="98b855"/>
            </a:solidFill>
            <a:ln w="4752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'Hedge Model'!$B$54:$B$64</c:f>
              <c:strCache>
                <c:ptCount val="11"/>
                <c:pt idx="0">
                  <c:v>[b]  Future value of call premium at maturity</c:v>
                </c:pt>
                <c:pt idx="1">
                  <c:v/>
                </c:pt>
                <c:pt idx="2">
                  <c:v/>
                </c:pt>
                <c:pt idx="3">
                  <c:v>SECTION 5 — SENSITIVITY ANALYSIS  (S_T range: S₀ × 0.95 to S₀ × 1.05 in 1% steps)</c:v>
                </c:pt>
                <c:pt idx="4">
                  <c:v>EUR/USD at
Maturity (S_T)</c:v>
                </c:pt>
                <c:pt idx="5">
                  <c:v>1.0967</c:v>
                </c:pt>
                <c:pt idx="6">
                  <c:v>1.1082</c:v>
                </c:pt>
                <c:pt idx="7">
                  <c:v>1.1198</c:v>
                </c:pt>
                <c:pt idx="8">
                  <c:v>1.1313</c:v>
                </c:pt>
                <c:pt idx="9">
                  <c:v>1.1429</c:v>
                </c:pt>
                <c:pt idx="10">
                  <c:v>1.1544</c:v>
                </c:pt>
              </c:strCache>
            </c:strRef>
          </c:cat>
          <c:val>
            <c:numRef>
              <c:f>'Hedge Model'!$E$54:$E$64</c:f>
              <c:numCache>
                <c:formatCode>\$#,##0</c:formatCode>
                <c:ptCount val="11"/>
                <c:pt idx="5">
                  <c:v>4571691.17647059</c:v>
                </c:pt>
                <c:pt idx="6">
                  <c:v>4571691.17647059</c:v>
                </c:pt>
                <c:pt idx="7">
                  <c:v>4571691.17647059</c:v>
                </c:pt>
                <c:pt idx="8">
                  <c:v>4571691.17647059</c:v>
                </c:pt>
                <c:pt idx="9">
                  <c:v>4571691.17647059</c:v>
                </c:pt>
                <c:pt idx="10">
                  <c:v>4571691.17647059</c:v>
                </c:pt>
              </c:numCache>
            </c:numRef>
          </c:val>
          <c:smooth val="1"/>
        </c:ser>
        <c:ser>
          <c:idx val="3"/>
          <c:order val="3"/>
          <c:tx>
            <c:strRef>
              <c:f>"3. Put Hedge"</c:f>
              <c:strCache>
                <c:ptCount val="1"/>
                <c:pt idx="0">
                  <c:v>3. Put Hedge</c:v>
                </c:pt>
              </c:strCache>
            </c:strRef>
          </c:tx>
          <c:spPr>
            <a:solidFill>
              <a:srgbClr val="7d5fa0"/>
            </a:solidFill>
            <a:ln w="47520">
              <a:solidFill>
                <a:srgbClr val="7d5fa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'Hedge Model'!$B$54:$B$64</c:f>
              <c:strCache>
                <c:ptCount val="11"/>
                <c:pt idx="0">
                  <c:v>[b]  Future value of call premium at maturity</c:v>
                </c:pt>
                <c:pt idx="1">
                  <c:v/>
                </c:pt>
                <c:pt idx="2">
                  <c:v/>
                </c:pt>
                <c:pt idx="3">
                  <c:v>SECTION 5 — SENSITIVITY ANALYSIS  (S_T range: S₀ × 0.95 to S₀ × 1.05 in 1% steps)</c:v>
                </c:pt>
                <c:pt idx="4">
                  <c:v>EUR/USD at
Maturity (S_T)</c:v>
                </c:pt>
                <c:pt idx="5">
                  <c:v>1.0967</c:v>
                </c:pt>
                <c:pt idx="6">
                  <c:v>1.1082</c:v>
                </c:pt>
                <c:pt idx="7">
                  <c:v>1.1198</c:v>
                </c:pt>
                <c:pt idx="8">
                  <c:v>1.1313</c:v>
                </c:pt>
                <c:pt idx="9">
                  <c:v>1.1429</c:v>
                </c:pt>
                <c:pt idx="10">
                  <c:v>1.1544</c:v>
                </c:pt>
              </c:strCache>
            </c:strRef>
          </c:cat>
          <c:val>
            <c:numRef>
              <c:f>'Hedge Model'!$F$54:$F$64</c:f>
              <c:numCache>
                <c:formatCode>\$#,##0</c:formatCode>
                <c:ptCount val="11"/>
                <c:pt idx="5">
                  <c:v>4439408.45893971</c:v>
                </c:pt>
                <c:pt idx="6">
                  <c:v>4439408.45893971</c:v>
                </c:pt>
                <c:pt idx="7">
                  <c:v>4439408.45893971</c:v>
                </c:pt>
                <c:pt idx="8">
                  <c:v>4439408.45893971</c:v>
                </c:pt>
                <c:pt idx="9">
                  <c:v>4439408.45893971</c:v>
                </c:pt>
                <c:pt idx="10">
                  <c:v>4439408.45893971</c:v>
                </c:pt>
              </c:numCache>
            </c:numRef>
          </c:val>
          <c:smooth val="1"/>
        </c:ser>
        <c:hiLowLines>
          <c:spPr>
            <a:ln w="0">
              <a:noFill/>
            </a:ln>
          </c:spPr>
        </c:hiLowLines>
        <c:marker val="0"/>
        <c:axId val="91494899"/>
        <c:axId val="57747219"/>
      </c:lineChart>
      <c:catAx>
        <c:axId val="9149489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EUR/USD Spot Rate at Maturity (S_T)</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747219"/>
        <c:crosses val="autoZero"/>
        <c:auto val="1"/>
        <c:lblAlgn val="ctr"/>
        <c:lblOffset val="100"/>
        <c:noMultiLvlLbl val="0"/>
      </c:catAx>
      <c:valAx>
        <c:axId val="577472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 Proceeds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49489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51</xdr:row>
      <xdr:rowOff>0</xdr:rowOff>
    </xdr:from>
    <xdr:to>
      <xdr:col>21</xdr:col>
      <xdr:colOff>500760</xdr:colOff>
      <xdr:row>74</xdr:row>
      <xdr:rowOff>47880</xdr:rowOff>
    </xdr:to>
    <xdr:graphicFrame>
      <xdr:nvGraphicFramePr>
        <xdr:cNvPr id="0" name="Chart 1"/>
        <xdr:cNvGraphicFramePr/>
      </xdr:nvGraphicFramePr>
      <xdr:xfrm>
        <a:off x="9867960" y="9963000"/>
        <a:ext cx="8637120" cy="4724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18"/>
    <col collapsed="false" customWidth="true" hidden="false" outlineLevel="0" max="4" min="4" style="1" width="22"/>
    <col collapsed="false" customWidth="true" hidden="false" outlineLevel="0" max="5" min="5" style="1" width="2"/>
    <col collapsed="false" customWidth="true" hidden="false" outlineLevel="0" max="9" min="6" style="1" width="18"/>
    <col collapsed="false" customWidth="true" hidden="false" outlineLevel="0" max="10" min="10" style="1" width="2"/>
  </cols>
  <sheetData>
    <row r="1" customFormat="false" ht="30" hidden="false" customHeight="true" outlineLevel="0" collapsed="false">
      <c r="B1" s="2" t="s">
        <v>0</v>
      </c>
      <c r="C1" s="2"/>
      <c r="D1" s="2"/>
      <c r="E1" s="2"/>
      <c r="F1" s="2"/>
      <c r="G1" s="2"/>
      <c r="H1" s="2"/>
      <c r="I1" s="2"/>
    </row>
    <row r="2" customFormat="false" ht="12.75" hidden="false" customHeight="true" outlineLevel="0" collapsed="false">
      <c r="B2" s="3" t="s">
        <v>1</v>
      </c>
      <c r="C2" s="3"/>
      <c r="D2" s="3"/>
      <c r="E2" s="3"/>
      <c r="F2" s="3"/>
      <c r="G2" s="3"/>
      <c r="H2" s="3"/>
      <c r="I2" s="3"/>
    </row>
    <row r="3" customFormat="false" ht="6" hidden="false" customHeight="true" outlineLevel="0" collapsed="false"/>
    <row r="4" customFormat="false" ht="13.5" hidden="false" customHeight="true" outlineLevel="0" collapsed="false">
      <c r="B4" s="4" t="s">
        <v>2</v>
      </c>
      <c r="D4" s="5" t="s">
        <v>3</v>
      </c>
      <c r="F4" s="6" t="s">
        <v>4</v>
      </c>
      <c r="H4" s="7" t="s">
        <v>5</v>
      </c>
    </row>
    <row r="6" customFormat="false" ht="19.5" hidden="false" customHeight="true" outlineLevel="0" collapsed="false">
      <c r="B6" s="8" t="s">
        <v>6</v>
      </c>
      <c r="C6" s="8"/>
      <c r="D6" s="8"/>
      <c r="E6" s="8"/>
      <c r="F6" s="8"/>
      <c r="G6" s="8"/>
      <c r="H6" s="8"/>
      <c r="I6" s="8"/>
      <c r="J6" s="8"/>
    </row>
    <row r="7" customFormat="false" ht="15" hidden="false" customHeight="true" outlineLevel="0" collapsed="false">
      <c r="C7" s="9" t="s">
        <v>7</v>
      </c>
      <c r="D7" s="9" t="s">
        <v>8</v>
      </c>
    </row>
    <row r="8" customFormat="false" ht="15.75" hidden="false" customHeight="true" outlineLevel="0" collapsed="false">
      <c r="B8" s="10" t="s">
        <v>9</v>
      </c>
      <c r="C8" s="11" t="n">
        <v>4500000</v>
      </c>
      <c r="D8" s="12" t="s">
        <v>10</v>
      </c>
    </row>
    <row r="9" customFormat="false" ht="15.75" hidden="false" customHeight="true" outlineLevel="0" collapsed="false">
      <c r="B9" s="10" t="s">
        <v>11</v>
      </c>
      <c r="C9" s="13" t="n">
        <v>1.1544</v>
      </c>
      <c r="D9" s="12" t="s">
        <v>12</v>
      </c>
    </row>
    <row r="10" customFormat="false" ht="15.75" hidden="false" customHeight="true" outlineLevel="0" collapsed="false">
      <c r="B10" s="10" t="s">
        <v>13</v>
      </c>
      <c r="C10" s="13" t="n">
        <v>1.0875</v>
      </c>
      <c r="D10" s="12" t="s">
        <v>14</v>
      </c>
    </row>
    <row r="11" customFormat="false" ht="15.75" hidden="false" customHeight="true" outlineLevel="0" collapsed="false">
      <c r="B11" s="10" t="s">
        <v>15</v>
      </c>
      <c r="C11" s="14" t="n">
        <v>0.03625</v>
      </c>
      <c r="D11" s="12" t="s">
        <v>16</v>
      </c>
    </row>
    <row r="12" customFormat="false" ht="15.75" hidden="false" customHeight="true" outlineLevel="0" collapsed="false">
      <c r="B12" s="10" t="s">
        <v>17</v>
      </c>
      <c r="C12" s="14" t="n">
        <v>0.02</v>
      </c>
      <c r="D12" s="12" t="s">
        <v>18</v>
      </c>
    </row>
    <row r="13" customFormat="false" ht="15.75" hidden="false" customHeight="true" outlineLevel="0" collapsed="false">
      <c r="B13" s="10" t="s">
        <v>19</v>
      </c>
      <c r="C13" s="15" t="n">
        <v>365</v>
      </c>
      <c r="D13" s="12" t="s">
        <v>20</v>
      </c>
    </row>
    <row r="14" customFormat="false" ht="15.75" hidden="false" customHeight="true" outlineLevel="0" collapsed="false">
      <c r="B14" s="10" t="s">
        <v>21</v>
      </c>
      <c r="C14" s="13" t="n">
        <v>1.1544</v>
      </c>
      <c r="D14" s="12" t="s">
        <v>22</v>
      </c>
    </row>
    <row r="15" customFormat="false" ht="15.75" hidden="false" customHeight="true" outlineLevel="0" collapsed="false">
      <c r="B15" s="10" t="s">
        <v>23</v>
      </c>
      <c r="C15" s="16" t="n">
        <v>0.015</v>
      </c>
      <c r="D15" s="12" t="s">
        <v>24</v>
      </c>
    </row>
    <row r="16" customFormat="false" ht="15.75" hidden="false" customHeight="true" outlineLevel="0" collapsed="false">
      <c r="B16" s="10" t="s">
        <v>25</v>
      </c>
      <c r="C16" s="13" t="n">
        <v>1.1544</v>
      </c>
      <c r="D16" s="12" t="s">
        <v>26</v>
      </c>
    </row>
    <row r="17" customFormat="false" ht="15.75" hidden="false" customHeight="true" outlineLevel="0" collapsed="false">
      <c r="B17" s="10" t="s">
        <v>27</v>
      </c>
      <c r="C17" s="16" t="n">
        <v>0.018</v>
      </c>
      <c r="D17" s="12" t="s">
        <v>28</v>
      </c>
    </row>
    <row r="19" customFormat="false" ht="6" hidden="false" customHeight="true" outlineLevel="0" collapsed="false"/>
    <row r="20" customFormat="false" ht="19.5" hidden="false" customHeight="true" outlineLevel="0" collapsed="false">
      <c r="B20" s="17" t="s">
        <v>29</v>
      </c>
      <c r="C20" s="17"/>
      <c r="D20" s="17"/>
      <c r="E20" s="17"/>
      <c r="F20" s="17"/>
      <c r="G20" s="17"/>
      <c r="H20" s="17"/>
      <c r="I20" s="17"/>
      <c r="J20" s="17"/>
    </row>
    <row r="21" customFormat="false" ht="15.75" hidden="false" customHeight="true" outlineLevel="0" collapsed="false">
      <c r="B21" s="10" t="s">
        <v>30</v>
      </c>
      <c r="C21" s="18" t="n">
        <f aca="false">C8/C9</f>
        <v>3898128.8981289</v>
      </c>
      <c r="D21" s="12" t="s">
        <v>31</v>
      </c>
    </row>
    <row r="22" customFormat="false" ht="15.75" hidden="false" customHeight="true" outlineLevel="0" collapsed="false">
      <c r="B22" s="10" t="s">
        <v>32</v>
      </c>
      <c r="C22" s="19" t="n">
        <f aca="false">$C$9*(1+$C$11)/(1+$C$12)</f>
        <v>1.17279117647059</v>
      </c>
      <c r="D22" s="12" t="s">
        <v>33</v>
      </c>
    </row>
    <row r="23" customFormat="false" ht="15.75" hidden="false" customHeight="true" outlineLevel="0" collapsed="false">
      <c r="B23" s="20" t="s">
        <v>34</v>
      </c>
      <c r="C23" s="21" t="n">
        <f aca="false">$C$21*$C$9</f>
        <v>4500000</v>
      </c>
      <c r="D23" s="12" t="s">
        <v>35</v>
      </c>
    </row>
    <row r="25" customFormat="false" ht="6" hidden="false" customHeight="true" outlineLevel="0" collapsed="false"/>
    <row r="26" customFormat="false" ht="19.5" hidden="false" customHeight="true" outlineLevel="0" collapsed="false">
      <c r="B26" s="8" t="s">
        <v>36</v>
      </c>
      <c r="C26" s="8"/>
      <c r="D26" s="8"/>
      <c r="E26" s="8"/>
      <c r="F26" s="8"/>
      <c r="G26" s="8"/>
      <c r="H26" s="8"/>
      <c r="I26" s="8"/>
      <c r="J26" s="8"/>
    </row>
    <row r="27" customFormat="false" ht="15" hidden="false" customHeight="true" outlineLevel="0" collapsed="false">
      <c r="B27" s="22" t="s">
        <v>37</v>
      </c>
      <c r="C27" s="21" t="n">
        <f aca="false">$C$21*$C$10</f>
        <v>4239215.17671518</v>
      </c>
      <c r="D27" s="12" t="s">
        <v>38</v>
      </c>
    </row>
    <row r="28" customFormat="false" ht="18" hidden="false" customHeight="true" outlineLevel="0" collapsed="false">
      <c r="B28" s="23" t="s">
        <v>39</v>
      </c>
      <c r="C28" s="24" t="n">
        <f aca="false">$C$21*$C$10</f>
        <v>4239215.17671518</v>
      </c>
      <c r="D28" s="12" t="s">
        <v>40</v>
      </c>
    </row>
    <row r="30" customFormat="false" ht="6" hidden="false" customHeight="true" outlineLevel="0" collapsed="false"/>
    <row r="31" customFormat="false" ht="19.5" hidden="false" customHeight="true" outlineLevel="0" collapsed="false">
      <c r="B31" s="8" t="s">
        <v>41</v>
      </c>
      <c r="C31" s="8"/>
      <c r="D31" s="8"/>
      <c r="E31" s="8"/>
      <c r="F31" s="8"/>
      <c r="G31" s="8"/>
      <c r="H31" s="8"/>
      <c r="I31" s="8"/>
      <c r="J31" s="8"/>
    </row>
    <row r="32" customFormat="false" ht="15" hidden="false" customHeight="true" outlineLevel="0" collapsed="false">
      <c r="B32" s="22" t="s">
        <v>42</v>
      </c>
      <c r="C32" s="21" t="n">
        <f aca="false">$C$21/(1+$C$12)</f>
        <v>3821694.99816559</v>
      </c>
      <c r="D32" s="12" t="s">
        <v>43</v>
      </c>
    </row>
    <row r="33" customFormat="false" ht="15" hidden="false" customHeight="true" outlineLevel="0" collapsed="false">
      <c r="B33" s="22" t="s">
        <v>44</v>
      </c>
      <c r="C33" s="21" t="n">
        <f aca="false">C32*$C$9</f>
        <v>4411764.70588235</v>
      </c>
      <c r="D33" s="12" t="s">
        <v>45</v>
      </c>
    </row>
    <row r="34" customFormat="false" ht="15" hidden="false" customHeight="true" outlineLevel="0" collapsed="false">
      <c r="B34" s="22" t="s">
        <v>46</v>
      </c>
      <c r="C34" s="21" t="n">
        <f aca="false">C33*(1+$C$11)</f>
        <v>4571691.17647059</v>
      </c>
      <c r="D34" s="12" t="s">
        <v>47</v>
      </c>
    </row>
    <row r="35" customFormat="false" ht="18" hidden="false" customHeight="true" outlineLevel="0" collapsed="false">
      <c r="B35" s="23" t="s">
        <v>48</v>
      </c>
      <c r="C35" s="24" t="n">
        <f aca="false">C34</f>
        <v>4571691.17647059</v>
      </c>
      <c r="D35" s="12" t="s">
        <v>40</v>
      </c>
    </row>
    <row r="36" customFormat="false" ht="15.75" hidden="false" customHeight="true" outlineLevel="0" collapsed="false">
      <c r="B36" s="25" t="s">
        <v>49</v>
      </c>
      <c r="C36" s="21" t="n">
        <f aca="false">C35-C28</f>
        <v>332475.999755411</v>
      </c>
      <c r="D36" s="12" t="s">
        <v>50</v>
      </c>
    </row>
    <row r="37" customFormat="false" ht="13.5" hidden="false" customHeight="true" outlineLevel="0" collapsed="false">
      <c r="B37" s="26"/>
      <c r="C37" s="27"/>
      <c r="D37" s="27"/>
      <c r="E37" s="27"/>
      <c r="F37" s="27"/>
      <c r="G37" s="27"/>
      <c r="H37" s="28"/>
    </row>
    <row r="38" customFormat="false" ht="15.75" hidden="false" customHeight="true" outlineLevel="0" collapsed="false">
      <c r="B38" s="29" t="s">
        <v>51</v>
      </c>
      <c r="C38" s="29"/>
      <c r="D38" s="29"/>
      <c r="E38" s="29"/>
      <c r="F38" s="29"/>
      <c r="G38" s="29"/>
      <c r="H38" s="29"/>
    </row>
    <row r="39" customFormat="false" ht="27.75" hidden="false" customHeight="true" outlineLevel="0" collapsed="false">
      <c r="B39" s="30" t="s">
        <v>52</v>
      </c>
      <c r="C39" s="30"/>
      <c r="D39" s="30"/>
      <c r="E39" s="30"/>
      <c r="F39" s="30"/>
      <c r="G39" s="30"/>
      <c r="H39" s="30"/>
      <c r="I39" s="30"/>
      <c r="J39" s="30"/>
    </row>
    <row r="40" customFormat="false" ht="36" hidden="false" customHeight="true" outlineLevel="0" collapsed="false">
      <c r="B40" s="31" t="s">
        <v>53</v>
      </c>
      <c r="C40" s="31"/>
      <c r="D40" s="31"/>
      <c r="E40" s="31"/>
      <c r="F40" s="31"/>
      <c r="G40" s="31"/>
      <c r="H40" s="31"/>
    </row>
    <row r="41" customFormat="false" ht="6" hidden="false" customHeight="true" outlineLevel="0" collapsed="false">
      <c r="B41" s="32"/>
      <c r="C41" s="33"/>
      <c r="D41" s="33"/>
      <c r="E41" s="33"/>
      <c r="F41" s="33"/>
      <c r="G41" s="33"/>
      <c r="H41" s="34"/>
    </row>
    <row r="42" customFormat="false" ht="15" hidden="false" customHeight="true" outlineLevel="0" collapsed="false"/>
    <row r="43" customFormat="false" ht="15" hidden="false" customHeight="true" outlineLevel="0" collapsed="false"/>
    <row r="44" customFormat="false" ht="18" hidden="false" customHeight="true" outlineLevel="0" collapsed="false">
      <c r="B44" s="35" t="s">
        <v>54</v>
      </c>
    </row>
    <row r="45" customFormat="false" ht="15" hidden="false" customHeight="true" outlineLevel="0" collapsed="false">
      <c r="B45" s="36" t="s">
        <v>55</v>
      </c>
    </row>
    <row r="46" customFormat="false" ht="6" hidden="false" customHeight="true" outlineLevel="0" collapsed="false">
      <c r="B46" s="22" t="s">
        <v>56</v>
      </c>
      <c r="C46" s="37" t="n">
        <f aca="false">$C$21*$C$15</f>
        <v>58471.9334719335</v>
      </c>
      <c r="D46" s="12" t="s">
        <v>57</v>
      </c>
    </row>
    <row r="47" customFormat="false" ht="15.75" hidden="false" customHeight="true" outlineLevel="0" collapsed="false">
      <c r="B47" s="22" t="s">
        <v>58</v>
      </c>
      <c r="C47" s="37" t="n">
        <f aca="false">C46*(1+$C$11)</f>
        <v>60591.5410602911</v>
      </c>
      <c r="D47" s="12" t="s">
        <v>59</v>
      </c>
    </row>
    <row r="48" customFormat="false" ht="15" hidden="false" customHeight="true" outlineLevel="0" collapsed="false">
      <c r="B48" s="22" t="s">
        <v>60</v>
      </c>
      <c r="C48" s="37" t="n">
        <f aca="false">$C$21*$C$14-C47</f>
        <v>4439408.45893971</v>
      </c>
      <c r="D48" s="12" t="s">
        <v>61</v>
      </c>
    </row>
    <row r="49" customFormat="false" ht="15" hidden="false" customHeight="true" outlineLevel="0" collapsed="false">
      <c r="B49" s="23" t="s">
        <v>62</v>
      </c>
      <c r="C49" s="38" t="n">
        <f aca="false">C48</f>
        <v>4439408.45893971</v>
      </c>
      <c r="D49" s="12" t="s">
        <v>63</v>
      </c>
    </row>
    <row r="51" customFormat="false" ht="6" hidden="false" customHeight="true" outlineLevel="0" collapsed="false"/>
    <row r="52" customFormat="false" ht="19.5" hidden="false" customHeight="true" outlineLevel="0" collapsed="false">
      <c r="B52" s="39" t="s">
        <v>64</v>
      </c>
      <c r="C52" s="39"/>
      <c r="D52" s="39"/>
      <c r="E52" s="39"/>
      <c r="F52" s="39"/>
      <c r="G52" s="39"/>
      <c r="H52" s="39"/>
      <c r="I52" s="39"/>
      <c r="J52" s="39"/>
    </row>
    <row r="53" customFormat="false" ht="30" hidden="false" customHeight="true" outlineLevel="0" collapsed="false">
      <c r="B53" s="40" t="s">
        <v>65</v>
      </c>
      <c r="C53" s="37" t="n">
        <f aca="false">$C$21*$C$17</f>
        <v>70166.3201663202</v>
      </c>
      <c r="D53" s="12" t="s">
        <v>66</v>
      </c>
    </row>
    <row r="54" customFormat="false" ht="15" hidden="false" customHeight="true" outlineLevel="0" collapsed="false">
      <c r="B54" s="40" t="s">
        <v>67</v>
      </c>
      <c r="C54" s="37" t="n">
        <f aca="false">C53*(1+$C$11)</f>
        <v>72709.8492723493</v>
      </c>
      <c r="D54" s="12" t="s">
        <v>68</v>
      </c>
    </row>
    <row r="55" customFormat="false" ht="15" hidden="false" customHeight="true" outlineLevel="0" collapsed="false"/>
    <row r="56" customFormat="false" ht="15" hidden="false" customHeight="true" outlineLevel="0" collapsed="false"/>
    <row r="57" customFormat="false" ht="15" hidden="false" customHeight="true" outlineLevel="0" collapsed="false">
      <c r="B57" s="35" t="s">
        <v>69</v>
      </c>
    </row>
    <row r="58" customFormat="false" ht="15" hidden="false" customHeight="true" outlineLevel="0" collapsed="false">
      <c r="B58" s="41" t="s">
        <v>70</v>
      </c>
      <c r="C58" s="41" t="s">
        <v>71</v>
      </c>
      <c r="D58" s="41" t="s">
        <v>72</v>
      </c>
      <c r="E58" s="41" t="s">
        <v>73</v>
      </c>
      <c r="F58" s="41" t="s">
        <v>74</v>
      </c>
      <c r="G58" s="41" t="s">
        <v>75</v>
      </c>
    </row>
    <row r="59" customFormat="false" ht="15" hidden="false" customHeight="true" outlineLevel="0" collapsed="false">
      <c r="B59" s="42" t="n">
        <f aca="false">$C$9*0.95</f>
        <v>1.09668</v>
      </c>
      <c r="C59" s="43" t="n">
        <f aca="false">B59*$C$21</f>
        <v>4275000</v>
      </c>
      <c r="D59" s="43" t="n">
        <f aca="false">$C$28</f>
        <v>4239215.17671518</v>
      </c>
      <c r="E59" s="43" t="n">
        <f aca="false">$C$35</f>
        <v>4571691.17647059</v>
      </c>
      <c r="F59" s="43" t="n">
        <f aca="false">MAX($C$14,B59)*$C$21-$C$47</f>
        <v>4439408.45893971</v>
      </c>
      <c r="G59" s="43" t="n">
        <f aca="false">F59-C59</f>
        <v>164408.458939709</v>
      </c>
    </row>
    <row r="60" customFormat="false" ht="15" hidden="false" customHeight="true" outlineLevel="0" collapsed="false">
      <c r="B60" s="44" t="n">
        <f aca="false">$C$9*0.96</f>
        <v>1.108224</v>
      </c>
      <c r="C60" s="45" t="n">
        <f aca="false">B60*$C$21</f>
        <v>4320000</v>
      </c>
      <c r="D60" s="45" t="n">
        <f aca="false">$C$28</f>
        <v>4239215.17671518</v>
      </c>
      <c r="E60" s="45" t="n">
        <f aca="false">$C$35</f>
        <v>4571691.17647059</v>
      </c>
      <c r="F60" s="45" t="n">
        <f aca="false">MAX($C$14,B60)*$C$21-$C$47</f>
        <v>4439408.45893971</v>
      </c>
      <c r="G60" s="45" t="n">
        <f aca="false">F60-C60</f>
        <v>119408.458939709</v>
      </c>
    </row>
    <row r="61" customFormat="false" ht="15" hidden="false" customHeight="true" outlineLevel="0" collapsed="false">
      <c r="B61" s="42" t="n">
        <f aca="false">$C$9*0.97</f>
        <v>1.119768</v>
      </c>
      <c r="C61" s="43" t="n">
        <f aca="false">B61*$C$21</f>
        <v>4365000</v>
      </c>
      <c r="D61" s="43" t="n">
        <f aca="false">$C$28</f>
        <v>4239215.17671518</v>
      </c>
      <c r="E61" s="43" t="n">
        <f aca="false">$C$35</f>
        <v>4571691.17647059</v>
      </c>
      <c r="F61" s="43" t="n">
        <f aca="false">MAX($C$14,B61)*$C$21-$C$47</f>
        <v>4439408.45893971</v>
      </c>
      <c r="G61" s="43" t="n">
        <f aca="false">F61-C61</f>
        <v>74408.4589397088</v>
      </c>
    </row>
    <row r="62" customFormat="false" ht="15" hidden="false" customHeight="true" outlineLevel="0" collapsed="false">
      <c r="B62" s="44" t="n">
        <f aca="false">$C$9*0.98</f>
        <v>1.131312</v>
      </c>
      <c r="C62" s="45" t="n">
        <f aca="false">B62*$C$21</f>
        <v>4410000</v>
      </c>
      <c r="D62" s="45" t="n">
        <f aca="false">$C$28</f>
        <v>4239215.17671518</v>
      </c>
      <c r="E62" s="45" t="n">
        <f aca="false">$C$35</f>
        <v>4571691.17647059</v>
      </c>
      <c r="F62" s="45" t="n">
        <f aca="false">MAX($C$14,B62)*$C$21-$C$47</f>
        <v>4439408.45893971</v>
      </c>
      <c r="G62" s="45" t="n">
        <f aca="false">F62-C62</f>
        <v>29408.4589397088</v>
      </c>
    </row>
    <row r="63" customFormat="false" ht="15" hidden="false" customHeight="true" outlineLevel="0" collapsed="false">
      <c r="B63" s="42" t="n">
        <f aca="false">$C$9*0.99</f>
        <v>1.142856</v>
      </c>
      <c r="C63" s="43" t="n">
        <f aca="false">B63*$C$21</f>
        <v>4455000</v>
      </c>
      <c r="D63" s="43" t="n">
        <f aca="false">$C$28</f>
        <v>4239215.17671518</v>
      </c>
      <c r="E63" s="43" t="n">
        <f aca="false">$C$35</f>
        <v>4571691.17647059</v>
      </c>
      <c r="F63" s="43" t="n">
        <f aca="false">MAX($C$14,B63)*$C$21-$C$47</f>
        <v>4439408.45893971</v>
      </c>
      <c r="G63" s="43" t="n">
        <f aca="false">F63-C63</f>
        <v>-15591.5410602912</v>
      </c>
    </row>
    <row r="64" customFormat="false" ht="15" hidden="false" customHeight="true" outlineLevel="0" collapsed="false">
      <c r="B64" s="44" t="n">
        <f aca="false">$C$9*1</f>
        <v>1.1544</v>
      </c>
      <c r="C64" s="45" t="n">
        <f aca="false">B64*$C$21</f>
        <v>4500000</v>
      </c>
      <c r="D64" s="45" t="n">
        <f aca="false">$C$28</f>
        <v>4239215.17671518</v>
      </c>
      <c r="E64" s="45" t="n">
        <f aca="false">$C$35</f>
        <v>4571691.17647059</v>
      </c>
      <c r="F64" s="45" t="n">
        <f aca="false">MAX($C$14,B64)*$C$21-$C$47</f>
        <v>4439408.45893971</v>
      </c>
      <c r="G64" s="45" t="n">
        <f aca="false">F64-C64</f>
        <v>-60591.5410602912</v>
      </c>
    </row>
    <row r="65" customFormat="false" ht="15" hidden="false" customHeight="true" outlineLevel="0" collapsed="false">
      <c r="B65" s="42" t="n">
        <f aca="false">$C$9*1.01</f>
        <v>1.165944</v>
      </c>
      <c r="C65" s="43" t="n">
        <f aca="false">B65*$C$21</f>
        <v>4545000</v>
      </c>
      <c r="D65" s="43" t="n">
        <f aca="false">$C$28</f>
        <v>4239215.17671518</v>
      </c>
      <c r="E65" s="43" t="n">
        <f aca="false">$C$35</f>
        <v>4571691.17647059</v>
      </c>
      <c r="F65" s="43" t="n">
        <f aca="false">MAX($C$14,B65)*$C$21-$C$47</f>
        <v>4484408.45893971</v>
      </c>
      <c r="G65" s="43" t="n">
        <f aca="false">F65-C65</f>
        <v>-60591.5410602912</v>
      </c>
    </row>
    <row r="66" customFormat="false" ht="15" hidden="false" customHeight="true" outlineLevel="0" collapsed="false">
      <c r="B66" s="44" t="n">
        <f aca="false">$C$9*1.02</f>
        <v>1.177488</v>
      </c>
      <c r="C66" s="45" t="n">
        <f aca="false">B66*$C$21</f>
        <v>4590000</v>
      </c>
      <c r="D66" s="45" t="n">
        <f aca="false">$C$28</f>
        <v>4239215.17671518</v>
      </c>
      <c r="E66" s="45" t="n">
        <f aca="false">$C$35</f>
        <v>4571691.17647059</v>
      </c>
      <c r="F66" s="45" t="n">
        <f aca="false">MAX($C$14,B66)*$C$21-$C$47</f>
        <v>4529408.45893971</v>
      </c>
      <c r="G66" s="45" t="n">
        <f aca="false">F66-C66</f>
        <v>-60591.5410602912</v>
      </c>
    </row>
    <row r="67" customFormat="false" ht="15" hidden="false" customHeight="true" outlineLevel="0" collapsed="false">
      <c r="B67" s="42" t="n">
        <f aca="false">$C$9*1.03</f>
        <v>1.189032</v>
      </c>
      <c r="C67" s="43" t="n">
        <f aca="false">B67*$C$21</f>
        <v>4635000</v>
      </c>
      <c r="D67" s="43" t="n">
        <f aca="false">$C$28</f>
        <v>4239215.17671518</v>
      </c>
      <c r="E67" s="43" t="n">
        <f aca="false">$C$35</f>
        <v>4571691.17647059</v>
      </c>
      <c r="F67" s="43" t="n">
        <f aca="false">MAX($C$14,B67)*$C$21-$C$47</f>
        <v>4574408.45893971</v>
      </c>
      <c r="G67" s="43" t="n">
        <f aca="false">F67-C67</f>
        <v>-60591.5410602912</v>
      </c>
    </row>
    <row r="68" customFormat="false" ht="15" hidden="false" customHeight="true" outlineLevel="0" collapsed="false">
      <c r="B68" s="44" t="n">
        <f aca="false">$C$9*1.04</f>
        <v>1.200576</v>
      </c>
      <c r="C68" s="45" t="n">
        <f aca="false">B68*$C$21</f>
        <v>4680000</v>
      </c>
      <c r="D68" s="45" t="n">
        <f aca="false">$C$28</f>
        <v>4239215.17671518</v>
      </c>
      <c r="E68" s="45" t="n">
        <f aca="false">$C$35</f>
        <v>4571691.17647059</v>
      </c>
      <c r="F68" s="45" t="n">
        <f aca="false">MAX($C$14,B68)*$C$21-$C$47</f>
        <v>4619408.45893971</v>
      </c>
      <c r="G68" s="45" t="n">
        <f aca="false">F68-C68</f>
        <v>-60591.5410602912</v>
      </c>
    </row>
    <row r="69" customFormat="false" ht="15" hidden="false" customHeight="true" outlineLevel="0" collapsed="false">
      <c r="B69" s="42" t="n">
        <f aca="false">$C$9*1.05</f>
        <v>1.21212</v>
      </c>
      <c r="C69" s="43" t="n">
        <f aca="false">B69*$C$21</f>
        <v>4725000</v>
      </c>
      <c r="D69" s="43" t="n">
        <f aca="false">$C$28</f>
        <v>4239215.17671518</v>
      </c>
      <c r="E69" s="43" t="n">
        <f aca="false">$C$35</f>
        <v>4571691.17647059</v>
      </c>
      <c r="F69" s="43" t="n">
        <f aca="false">MAX($C$14,B69)*$C$21-$C$47</f>
        <v>4664408.45893971</v>
      </c>
      <c r="G69" s="43" t="n">
        <f aca="false">F69-C69</f>
        <v>-60591.5410602912</v>
      </c>
    </row>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c r="B73" s="35" t="s">
        <v>76</v>
      </c>
    </row>
    <row r="74" customFormat="false" ht="15.75" hidden="false" customHeight="true" outlineLevel="0" collapsed="false">
      <c r="B74" s="23" t="s">
        <v>77</v>
      </c>
      <c r="C74" s="24" t="n">
        <f aca="false">C28</f>
        <v>4239215.17671518</v>
      </c>
    </row>
    <row r="75" customFormat="false" ht="15.75" hidden="false" customHeight="true" outlineLevel="0" collapsed="false">
      <c r="B75" s="23" t="s">
        <v>78</v>
      </c>
      <c r="C75" s="24" t="n">
        <f aca="false">C35</f>
        <v>4571691.17647059</v>
      </c>
    </row>
    <row r="76" customFormat="false" ht="15" hidden="false" customHeight="true" outlineLevel="0" collapsed="false">
      <c r="B76" s="23" t="s">
        <v>79</v>
      </c>
      <c r="C76" s="46" t="n">
        <f aca="false">C49</f>
        <v>4439408.45893971</v>
      </c>
    </row>
    <row r="77" customFormat="false" ht="15" hidden="false" customHeight="true" outlineLevel="0" collapsed="false">
      <c r="B77" s="23" t="s">
        <v>80</v>
      </c>
      <c r="C77" s="24" t="n">
        <f aca="false">C36</f>
        <v>332475.999755411</v>
      </c>
    </row>
    <row r="78" customFormat="false" ht="15" hidden="false" customHeight="true" outlineLevel="0" collapsed="false">
      <c r="B78" s="23" t="s">
        <v>81</v>
      </c>
      <c r="C78" s="47" t="s">
        <v>82</v>
      </c>
    </row>
    <row r="79" customFormat="false" ht="15" hidden="false" customHeight="true" outlineLevel="0" collapsed="false">
      <c r="B79" s="23" t="s">
        <v>83</v>
      </c>
      <c r="C79" s="47" t="s">
        <v>84</v>
      </c>
    </row>
    <row r="80" customFormat="false" ht="15" hidden="false" customHeight="true" outlineLevel="0" collapsed="false">
      <c r="B80" s="23" t="s">
        <v>85</v>
      </c>
      <c r="C80" s="48" t="s">
        <v>86</v>
      </c>
    </row>
  </sheetData>
  <mergeCells count="10">
    <mergeCell ref="B1:I1"/>
    <mergeCell ref="B2:I2"/>
    <mergeCell ref="B6:J6"/>
    <mergeCell ref="B20:J20"/>
    <mergeCell ref="B26:J26"/>
    <mergeCell ref="B31:J31"/>
    <mergeCell ref="B38:H38"/>
    <mergeCell ref="B39:J39"/>
    <mergeCell ref="B40:H40"/>
    <mergeCell ref="B52:J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68"/>
  </cols>
  <sheetData>
    <row r="1" customFormat="false" ht="25.5" hidden="false" customHeight="true" outlineLevel="0" collapsed="false">
      <c r="B1" s="49" t="s">
        <v>87</v>
      </c>
      <c r="C1" s="49"/>
    </row>
    <row r="2" customFormat="false" ht="18" hidden="false" customHeight="true" outlineLevel="0" collapsed="false">
      <c r="B2" s="50" t="s">
        <v>88</v>
      </c>
      <c r="C2" s="50"/>
    </row>
    <row r="3" customFormat="false" ht="39.75" hidden="false" customHeight="true" outlineLevel="0" collapsed="false">
      <c r="B3" s="51" t="s">
        <v>89</v>
      </c>
      <c r="C3" s="52" t="s">
        <v>90</v>
      </c>
    </row>
    <row r="4" customFormat="false" ht="39.75" hidden="false" customHeight="true" outlineLevel="0" collapsed="false">
      <c r="B4" s="51" t="s">
        <v>91</v>
      </c>
      <c r="C4" s="52" t="s">
        <v>92</v>
      </c>
    </row>
    <row r="5" customFormat="false" ht="39.75" hidden="false" customHeight="true" outlineLevel="0" collapsed="false">
      <c r="B5" s="51" t="s">
        <v>93</v>
      </c>
      <c r="C5" s="52" t="s">
        <v>94</v>
      </c>
    </row>
    <row r="6" customFormat="false" ht="39.75" hidden="false" customHeight="true" outlineLevel="0" collapsed="false">
      <c r="B6" s="51" t="s">
        <v>95</v>
      </c>
      <c r="C6" s="52" t="s">
        <v>96</v>
      </c>
    </row>
    <row r="8" customFormat="false" ht="18" hidden="false" customHeight="true" outlineLevel="0" collapsed="false">
      <c r="B8" s="50" t="s">
        <v>97</v>
      </c>
      <c r="C8" s="50"/>
    </row>
    <row r="9" customFormat="false" ht="39.75" hidden="false" customHeight="true" outlineLevel="0" collapsed="false">
      <c r="B9" s="51" t="s">
        <v>98</v>
      </c>
      <c r="C9" s="52" t="s">
        <v>99</v>
      </c>
    </row>
    <row r="10" customFormat="false" ht="39.75" hidden="false" customHeight="true" outlineLevel="0" collapsed="false">
      <c r="B10" s="51" t="s">
        <v>100</v>
      </c>
      <c r="C10" s="52" t="s">
        <v>101</v>
      </c>
    </row>
    <row r="11" customFormat="false" ht="39.75" hidden="false" customHeight="true" outlineLevel="0" collapsed="false">
      <c r="B11" s="51" t="s">
        <v>102</v>
      </c>
      <c r="C11" s="52" t="s">
        <v>103</v>
      </c>
    </row>
    <row r="12" customFormat="false" ht="39.75" hidden="false" customHeight="true" outlineLevel="0" collapsed="false">
      <c r="B12" s="51" t="s">
        <v>104</v>
      </c>
      <c r="C12" s="52" t="s">
        <v>105</v>
      </c>
    </row>
    <row r="13" customFormat="false" ht="39.75" hidden="false" customHeight="true" outlineLevel="0" collapsed="false">
      <c r="B13" s="53" t="s">
        <v>106</v>
      </c>
      <c r="C13" s="54" t="s">
        <v>107</v>
      </c>
    </row>
    <row r="14" customFormat="false" ht="39.75" hidden="false" customHeight="true" outlineLevel="0" collapsed="false">
      <c r="B14" s="51" t="s">
        <v>108</v>
      </c>
      <c r="C14" s="52" t="s">
        <v>109</v>
      </c>
    </row>
    <row r="15" customFormat="false" ht="39.75" hidden="false" customHeight="true" outlineLevel="0" collapsed="false">
      <c r="B15" s="51" t="s">
        <v>110</v>
      </c>
      <c r="C15" s="52" t="s">
        <v>111</v>
      </c>
    </row>
    <row r="16" customFormat="false" ht="39.75" hidden="false" customHeight="true" outlineLevel="0" collapsed="false">
      <c r="B16" s="51" t="s">
        <v>112</v>
      </c>
      <c r="C16" s="52" t="s">
        <v>113</v>
      </c>
    </row>
    <row r="17" customFormat="false" ht="39.75" hidden="false" customHeight="true" outlineLevel="0" collapsed="false">
      <c r="B17" s="51" t="s">
        <v>114</v>
      </c>
      <c r="C17" s="52" t="s">
        <v>115</v>
      </c>
    </row>
    <row r="19" customFormat="false" ht="18" hidden="false" customHeight="true" outlineLevel="0" collapsed="false">
      <c r="B19" s="50" t="s">
        <v>116</v>
      </c>
      <c r="C19" s="50"/>
    </row>
    <row r="20" customFormat="false" ht="39.75" hidden="false" customHeight="true" outlineLevel="0" collapsed="false">
      <c r="B20" s="51" t="s">
        <v>117</v>
      </c>
      <c r="C20" s="52" t="s">
        <v>118</v>
      </c>
    </row>
    <row r="21" customFormat="false" ht="39.75" hidden="false" customHeight="true" outlineLevel="0" collapsed="false">
      <c r="B21" s="51" t="s">
        <v>119</v>
      </c>
      <c r="C21" s="52" t="s">
        <v>120</v>
      </c>
    </row>
    <row r="22" customFormat="false" ht="39.75" hidden="false" customHeight="true" outlineLevel="0" collapsed="false">
      <c r="B22" s="51" t="s">
        <v>121</v>
      </c>
      <c r="C22" s="52" t="s">
        <v>122</v>
      </c>
    </row>
    <row r="23" customFormat="false" ht="39.75" hidden="false" customHeight="true" outlineLevel="0" collapsed="false">
      <c r="B23" s="51" t="s">
        <v>123</v>
      </c>
      <c r="C23" s="52" t="s">
        <v>124</v>
      </c>
    </row>
    <row r="24" customFormat="false" ht="39.75" hidden="false" customHeight="true" outlineLevel="0" collapsed="false">
      <c r="B24" s="51" t="s">
        <v>125</v>
      </c>
      <c r="C24" s="52" t="s">
        <v>126</v>
      </c>
    </row>
    <row r="26" customFormat="false" ht="18" hidden="false" customHeight="true" outlineLevel="0" collapsed="false">
      <c r="B26" s="50" t="s">
        <v>127</v>
      </c>
      <c r="C26" s="50"/>
    </row>
    <row r="27" customFormat="false" ht="39.75" hidden="false" customHeight="true" outlineLevel="0" collapsed="false">
      <c r="B27" s="51" t="s">
        <v>128</v>
      </c>
      <c r="C27" s="52" t="s">
        <v>129</v>
      </c>
    </row>
    <row r="28" customFormat="false" ht="39.75" hidden="false" customHeight="true" outlineLevel="0" collapsed="false">
      <c r="B28" s="51" t="s">
        <v>130</v>
      </c>
      <c r="C28" s="52" t="s">
        <v>131</v>
      </c>
    </row>
    <row r="29" customFormat="false" ht="39.75" hidden="false" customHeight="true" outlineLevel="0" collapsed="false">
      <c r="B29" s="51" t="s">
        <v>132</v>
      </c>
      <c r="C29" s="52" t="s">
        <v>133</v>
      </c>
    </row>
    <row r="30" customFormat="false" ht="39.75" hidden="false" customHeight="true" outlineLevel="0" collapsed="false">
      <c r="B30" s="51" t="s">
        <v>134</v>
      </c>
      <c r="C30" s="52" t="s">
        <v>135</v>
      </c>
    </row>
    <row r="31" customFormat="false" ht="39.75" hidden="false" customHeight="true" outlineLevel="0" collapsed="false">
      <c r="B31" s="51" t="s">
        <v>136</v>
      </c>
      <c r="C31" s="55" t="s">
        <v>137</v>
      </c>
      <c r="D31" s="56"/>
    </row>
  </sheetData>
  <mergeCells count="5">
    <mergeCell ref="B1:C1"/>
    <mergeCell ref="B2:C2"/>
    <mergeCell ref="B8:C8"/>
    <mergeCell ref="B19:C19"/>
    <mergeCell ref="B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2026-04-18T08:29:33Z</dcterms:created>
  <dc:creator>openpyxl</dc:creator>
  <dc:description/>
  <dc:language>en-US</dc:language>
  <cp:lastModifiedBy/>
  <dcterms:modified xsi:type="dcterms:W3CDTF">2026-04-18T08:36:16Z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